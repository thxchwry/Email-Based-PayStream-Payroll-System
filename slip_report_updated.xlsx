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thidapondchuanwiriyachan/Downloads/University/P3/CSC490(RPA)/Slip/"/>
    </mc:Choice>
  </mc:AlternateContent>
  <xr:revisionPtr revIDLastSave="0" documentId="13_ncr:1_{E5152741-B48C-AF4B-9508-B92AB0B3958D}" xr6:coauthVersionLast="47" xr6:coauthVersionMax="47" xr10:uidLastSave="{00000000-0000-0000-0000-000000000000}"/>
  <bookViews>
    <workbookView xWindow="0" yWindow="680" windowWidth="30240" windowHeight="175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M5" i="2"/>
  <c r="M7" i="2"/>
  <c r="M8" i="2"/>
  <c r="M9" i="2"/>
  <c r="L7" i="2"/>
  <c r="L8" i="2"/>
  <c r="L9" i="2"/>
  <c r="K7" i="2"/>
  <c r="K8" i="2"/>
  <c r="K9" i="2"/>
  <c r="J7" i="2"/>
  <c r="J8" i="2"/>
  <c r="J9" i="2"/>
  <c r="F7" i="2"/>
  <c r="F8" i="2"/>
  <c r="F9" i="2"/>
  <c r="F6" i="2" l="1"/>
  <c r="K6" i="2" s="1"/>
  <c r="K5" i="2"/>
  <c r="J5" i="2"/>
  <c r="F4" i="2"/>
  <c r="J4" i="2" s="1"/>
  <c r="L6" i="2" l="1"/>
  <c r="J6" i="2"/>
  <c r="K4" i="2"/>
  <c r="M4" i="2" s="1"/>
  <c r="L4" i="2"/>
  <c r="L5" i="2"/>
  <c r="M6" i="2" l="1"/>
</calcChain>
</file>

<file path=xl/sharedStrings.xml><?xml version="1.0" encoding="utf-8"?>
<sst xmlns="http://schemas.openxmlformats.org/spreadsheetml/2006/main" count="39" uniqueCount="36">
  <si>
    <t>ชื่อ</t>
  </si>
  <si>
    <t>นามสกุล</t>
  </si>
  <si>
    <t>วันที่เริ่มงาน</t>
  </si>
  <si>
    <t>ค่าแรงเงินเดือน</t>
  </si>
  <si>
    <t>จำนวน OT</t>
  </si>
  <si>
    <t>ค่าแรง OT</t>
  </si>
  <si>
    <t>รวมสุทธิ</t>
  </si>
  <si>
    <t>วันนหยุด</t>
  </si>
  <si>
    <t>(หลังเลิกงาน)</t>
  </si>
  <si>
    <t xml:space="preserve"> (ในเวลาทำงานปกติ)</t>
  </si>
  <si>
    <t>(นอกเวลาทำงาน/หลังเลิกงาน)</t>
  </si>
  <si>
    <t>Thidapond</t>
  </si>
  <si>
    <t>Chuanwiriyachan</t>
  </si>
  <si>
    <t>รหัสผนักงาน</t>
  </si>
  <si>
    <t>ค่าแรงโอที</t>
  </si>
  <si>
    <r>
      <t>วันทำงานปกติ</t>
    </r>
    <r>
      <rPr>
        <sz val="12"/>
        <color theme="1"/>
        <rFont val="Aptos Narrow"/>
        <family val="2"/>
        <scheme val="minor"/>
      </rPr>
      <t xml:space="preserve"> </t>
    </r>
  </si>
  <si>
    <r>
      <t>วันหยุด</t>
    </r>
    <r>
      <rPr>
        <sz val="12"/>
        <color theme="1"/>
        <rFont val="Aptos Narrow"/>
        <family val="2"/>
        <scheme val="minor"/>
      </rPr>
      <t xml:space="preserve"> </t>
    </r>
  </si>
  <si>
    <r>
      <t>วันทำงานปกติ</t>
    </r>
    <r>
      <rPr>
        <sz val="12"/>
        <color theme="1"/>
        <rFont val="Aptos Narrow"/>
        <family val="2"/>
        <scheme val="minor"/>
      </rPr>
      <t xml:space="preserve"> (หลังเลิกงาน)</t>
    </r>
  </si>
  <si>
    <r>
      <t>นหยุด</t>
    </r>
    <r>
      <rPr>
        <sz val="12"/>
        <color theme="1"/>
        <rFont val="Aptos Narrow"/>
        <family val="2"/>
        <scheme val="minor"/>
      </rPr>
      <t xml:space="preserve"> (ในเวลาทำงานปกติ)</t>
    </r>
  </si>
  <si>
    <r>
      <t>วันหยุด</t>
    </r>
    <r>
      <rPr>
        <sz val="12"/>
        <color theme="1"/>
        <rFont val="Aptos Narrow"/>
        <family val="2"/>
        <scheme val="minor"/>
      </rPr>
      <t xml:space="preserve"> (นอกเวลาทำงาน/หลังเลิกงาน)</t>
    </r>
  </si>
  <si>
    <t>00001</t>
  </si>
  <si>
    <t>Natnaree</t>
  </si>
  <si>
    <t>Kludbupa</t>
  </si>
  <si>
    <t>00002</t>
  </si>
  <si>
    <t>Chanya</t>
  </si>
  <si>
    <t>Khieopagdee</t>
  </si>
  <si>
    <t>00003</t>
  </si>
  <si>
    <t>00004</t>
  </si>
  <si>
    <t>00005</t>
  </si>
  <si>
    <t>00006</t>
  </si>
  <si>
    <t xml:space="preserve">Supatat </t>
  </si>
  <si>
    <t>Trisamut</t>
  </si>
  <si>
    <t>Tinnapob</t>
  </si>
  <si>
    <t>Paelsanom</t>
  </si>
  <si>
    <t>Phinlada</t>
  </si>
  <si>
    <t>Chaengchit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</si>
</sst>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yyyy\-mm\-dd;@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D90B-5100-4140-B237-09F49A6288DF}">
  <dimension ref="A1:M9"/>
  <sheetViews>
    <sheetView tabSelected="1" zoomScale="160" zoomScaleNormal="160" workbookViewId="0">
      <selection activeCell="C13" sqref="C13"/>
    </sheetView>
  </sheetViews>
  <sheetFormatPr baseColWidth="10" defaultRowHeight="16" x14ac:dyDescent="0.2"/>
  <cols>
    <col min="1" max="2" width="10.83203125" style="1"/>
    <col min="3" max="3" width="15.33203125" style="1" bestFit="1" customWidth="1"/>
    <col min="4" max="4" width="10.6640625" style="1" bestFit="1" customWidth="1"/>
    <col min="5" max="5" width="13.1640625" style="14" bestFit="1" customWidth="1"/>
    <col min="6" max="6" width="11.6640625" style="12" bestFit="1" customWidth="1"/>
    <col min="7" max="7" width="12.6640625" style="1" bestFit="1" customWidth="1"/>
    <col min="8" max="8" width="18.1640625" style="1" bestFit="1" customWidth="1"/>
    <col min="9" max="9" width="26.1640625" style="1" bestFit="1" customWidth="1"/>
    <col min="10" max="10" width="24.33203125" style="12" bestFit="1" customWidth="1"/>
    <col min="11" max="11" width="23.1640625" style="12" bestFit="1" customWidth="1"/>
    <col min="12" max="12" width="32.6640625" style="12" bestFit="1" customWidth="1"/>
    <col min="13" max="13" width="13.1640625" style="12" bestFit="1" customWidth="1"/>
    <col min="14" max="16384" width="10.83203125" style="1"/>
  </cols>
  <sheetData>
    <row r="1" spans="1:13" x14ac:dyDescent="0.2">
      <c r="A1" s="6" t="s">
        <v>13</v>
      </c>
      <c r="B1" s="5" t="s">
        <v>0</v>
      </c>
      <c r="C1" s="5" t="s">
        <v>1</v>
      </c>
      <c r="D1" s="7" t="s">
        <v>2</v>
      </c>
      <c r="E1" s="13" t="s">
        <v>3</v>
      </c>
      <c r="F1" s="13" t="s">
        <v>14</v>
      </c>
      <c r="G1" s="5" t="s">
        <v>4</v>
      </c>
      <c r="H1" s="5"/>
      <c r="I1" s="5"/>
      <c r="J1" s="10" t="s">
        <v>5</v>
      </c>
      <c r="K1" s="10"/>
      <c r="L1" s="10"/>
      <c r="M1" s="10" t="s">
        <v>6</v>
      </c>
    </row>
    <row r="2" spans="1:13" x14ac:dyDescent="0.2">
      <c r="A2" s="6"/>
      <c r="B2" s="5"/>
      <c r="C2" s="5"/>
      <c r="D2" s="7"/>
      <c r="E2" s="13"/>
      <c r="F2" s="13"/>
      <c r="G2" s="2" t="s">
        <v>15</v>
      </c>
      <c r="H2" s="2" t="s">
        <v>7</v>
      </c>
      <c r="I2" s="2" t="s">
        <v>16</v>
      </c>
      <c r="J2" s="11" t="s">
        <v>17</v>
      </c>
      <c r="K2" s="11" t="s">
        <v>18</v>
      </c>
      <c r="L2" s="11" t="s">
        <v>19</v>
      </c>
      <c r="M2" s="10"/>
    </row>
    <row r="3" spans="1:13" x14ac:dyDescent="0.2">
      <c r="A3" s="6"/>
      <c r="B3" s="5"/>
      <c r="C3" s="5"/>
      <c r="D3" s="7"/>
      <c r="E3" s="13"/>
      <c r="F3" s="13"/>
      <c r="G3" s="1" t="s">
        <v>8</v>
      </c>
      <c r="H3" s="1" t="s">
        <v>9</v>
      </c>
      <c r="I3" s="1" t="s">
        <v>10</v>
      </c>
      <c r="J3" s="12" t="s">
        <v>8</v>
      </c>
      <c r="K3" s="12" t="s">
        <v>9</v>
      </c>
      <c r="L3" s="12" t="s">
        <v>10</v>
      </c>
      <c r="M3" s="10"/>
    </row>
    <row r="4" spans="1:13" x14ac:dyDescent="0.2">
      <c r="A4" s="3" t="s">
        <v>20</v>
      </c>
      <c r="B4" s="1" t="s">
        <v>21</v>
      </c>
      <c r="C4" s="1" t="s">
        <v>22</v>
      </c>
      <c r="D4" s="4">
        <v>243571</v>
      </c>
      <c r="E4" s="14">
        <v>5000000</v>
      </c>
      <c r="F4" s="14">
        <f>E4/30</f>
        <v>166666.66666666666</v>
      </c>
      <c r="G4" s="1">
        <v>1</v>
      </c>
      <c r="H4" s="1">
        <v>5</v>
      </c>
      <c r="I4" s="1">
        <v>3</v>
      </c>
      <c r="J4" s="12">
        <f>G4*1.58*F4</f>
        <v>263333.33333333331</v>
      </c>
      <c r="K4" s="12">
        <f>H4*1.58*F4</f>
        <v>1316666.6666666667</v>
      </c>
      <c r="L4" s="12">
        <f>I4*1.58*F4</f>
        <v>790000</v>
      </c>
      <c r="M4" s="12">
        <f>E4+J4+K4+L4</f>
        <v>7370000</v>
      </c>
    </row>
    <row r="5" spans="1:13" x14ac:dyDescent="0.2">
      <c r="A5" s="3" t="s">
        <v>23</v>
      </c>
      <c r="B5" s="1" t="s">
        <v>11</v>
      </c>
      <c r="C5" s="1" t="s">
        <v>12</v>
      </c>
      <c r="D5" s="4">
        <v>243508</v>
      </c>
      <c r="E5" s="14">
        <v>788900</v>
      </c>
      <c r="F5" s="14">
        <f>E5/30</f>
        <v>26296.666666666668</v>
      </c>
      <c r="G5" s="1">
        <v>5</v>
      </c>
      <c r="H5" s="1">
        <v>4</v>
      </c>
      <c r="I5" s="1">
        <v>2</v>
      </c>
      <c r="J5" s="12">
        <f>G5*1.5*F5</f>
        <v>197225</v>
      </c>
      <c r="K5" s="12">
        <f>H5*1.5*F5</f>
        <v>157780</v>
      </c>
      <c r="L5" s="12">
        <f>I5*1.5*F5</f>
        <v>78890</v>
      </c>
      <c r="M5" s="12">
        <f>E5+J5+K5+L5</f>
        <v>1222795</v>
      </c>
    </row>
    <row r="6" spans="1:13" x14ac:dyDescent="0.2">
      <c r="A6" s="3" t="s">
        <v>26</v>
      </c>
      <c r="B6" s="8" t="s">
        <v>24</v>
      </c>
      <c r="C6" s="8" t="s">
        <v>25</v>
      </c>
      <c r="D6" s="4">
        <v>243259</v>
      </c>
      <c r="E6" s="14">
        <v>81000</v>
      </c>
      <c r="F6" s="14">
        <f>E6/30</f>
        <v>2700</v>
      </c>
      <c r="G6" s="1">
        <v>6</v>
      </c>
      <c r="H6" s="1">
        <v>3</v>
      </c>
      <c r="I6" s="1">
        <v>4</v>
      </c>
      <c r="J6" s="12">
        <f>G6*1.5*F6</f>
        <v>24300</v>
      </c>
      <c r="K6" s="12">
        <f>H6*1.5*F6</f>
        <v>12150</v>
      </c>
      <c r="L6" s="12">
        <f>I6*1.5*F6</f>
        <v>16200</v>
      </c>
      <c r="M6" s="12">
        <f>E6+J6+K6+L6</f>
        <v>133650</v>
      </c>
    </row>
    <row r="7" spans="1:13" x14ac:dyDescent="0.2">
      <c r="A7" s="3" t="s">
        <v>27</v>
      </c>
      <c r="B7" s="9" t="s">
        <v>30</v>
      </c>
      <c r="C7" s="9" t="s">
        <v>31</v>
      </c>
      <c r="D7" s="4">
        <v>243309</v>
      </c>
      <c r="E7" s="14">
        <v>1000</v>
      </c>
      <c r="F7" s="14">
        <f t="shared" ref="F7:F9" si="0">E7/30</f>
        <v>33.333333333333336</v>
      </c>
      <c r="G7" s="1">
        <v>5</v>
      </c>
      <c r="H7" s="1">
        <v>3</v>
      </c>
      <c r="I7" s="1">
        <v>1</v>
      </c>
      <c r="J7" s="12">
        <f t="shared" ref="J7:J9" si="1">G7*1.5*F7</f>
        <v>250.00000000000003</v>
      </c>
      <c r="K7" s="12">
        <f t="shared" ref="K7:K9" si="2">H7*1.5*F7</f>
        <v>150</v>
      </c>
      <c r="L7" s="12">
        <f t="shared" ref="L7:L9" si="3">I7*1.5*F7</f>
        <v>50</v>
      </c>
      <c r="M7" s="12">
        <f t="shared" ref="M7:M9" si="4">E7+J7+K7+L7</f>
        <v>1450</v>
      </c>
    </row>
    <row r="8" spans="1:13" x14ac:dyDescent="0.2">
      <c r="A8" s="3" t="s">
        <v>28</v>
      </c>
      <c r="B8" s="9" t="s">
        <v>32</v>
      </c>
      <c r="C8" s="9" t="s">
        <v>33</v>
      </c>
      <c r="D8" s="4">
        <v>243559</v>
      </c>
      <c r="E8" s="14">
        <v>34000</v>
      </c>
      <c r="F8" s="14">
        <f t="shared" si="0"/>
        <v>1133.3333333333333</v>
      </c>
      <c r="G8" s="1">
        <v>5</v>
      </c>
      <c r="H8" s="1">
        <v>6</v>
      </c>
      <c r="I8" s="1">
        <v>4</v>
      </c>
      <c r="J8" s="12">
        <f t="shared" si="1"/>
        <v>8500</v>
      </c>
      <c r="K8" s="12">
        <f t="shared" si="2"/>
        <v>10200</v>
      </c>
      <c r="L8" s="12">
        <f t="shared" si="3"/>
        <v>6800</v>
      </c>
      <c r="M8" s="12">
        <f t="shared" si="4"/>
        <v>59500</v>
      </c>
    </row>
    <row r="9" spans="1:13" x14ac:dyDescent="0.2">
      <c r="A9" s="3" t="s">
        <v>29</v>
      </c>
      <c r="B9" s="9" t="s">
        <v>34</v>
      </c>
      <c r="C9" s="9" t="s">
        <v>35</v>
      </c>
      <c r="D9" s="4">
        <v>243498</v>
      </c>
      <c r="E9" s="14">
        <v>142700</v>
      </c>
      <c r="F9" s="14">
        <f t="shared" si="0"/>
        <v>4756.666666666667</v>
      </c>
      <c r="G9" s="1">
        <v>4</v>
      </c>
      <c r="H9" s="1">
        <v>2</v>
      </c>
      <c r="I9" s="1">
        <v>3</v>
      </c>
      <c r="J9" s="12">
        <f t="shared" si="1"/>
        <v>28540</v>
      </c>
      <c r="K9" s="12">
        <f t="shared" si="2"/>
        <v>14270</v>
      </c>
      <c r="L9" s="12">
        <f t="shared" si="3"/>
        <v>21405</v>
      </c>
      <c r="M9" s="12">
        <f t="shared" si="4"/>
        <v>206915</v>
      </c>
    </row>
  </sheetData>
  <mergeCells count="9">
    <mergeCell ref="G1:I1"/>
    <mergeCell ref="J1:L1"/>
    <mergeCell ref="M1:M3"/>
    <mergeCell ref="A1:A3"/>
    <mergeCell ref="B1:B3"/>
    <mergeCell ref="C1:C3"/>
    <mergeCell ref="D1:D3"/>
    <mergeCell ref="E1:E3"/>
    <mergeCell ref="F1:F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THIDAPOND CHUANWIRIYACHAN</dc:creator>
  <cp:lastModifiedBy>THIDAPOND CHUANWIRIYACHAN</cp:lastModifiedBy>
  <dcterms:created xsi:type="dcterms:W3CDTF">2026-04-22T08:21:46Z</dcterms:created>
  <dcterms:modified xsi:type="dcterms:W3CDTF">2026-04-22T12:33:37Z</dcterms:modified>
</cp:coreProperties>
</file>